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<sst xmlns="http://schemas.openxmlformats.org/spreadsheetml/2006/main" count="182" uniqueCount="130">
  <si>
    <t xml:space="preserve">Business Name</t>
  </si>
  <si>
    <t xml:space="preserve">Category</t>
  </si>
  <si>
    <t xml:space="preserve">Instagram Handle</t>
  </si>
  <si>
    <t xml:space="preserve">Google Maps Link</t>
  </si>
  <si>
    <t xml:space="preserve">Phone/WhatsApp</t>
  </si>
  <si>
    <t xml:space="preserve">City/Area</t>
  </si>
  <si>
    <t xml:space="preserve">Has Website (Y/N)</t>
  </si>
  <si>
    <t xml:space="preserve">Status</t>
  </si>
  <si>
    <t xml:space="preserve">Price Quoted (AED)</t>
  </si>
  <si>
    <t xml:space="preserve">Deposit Received (AED)</t>
  </si>
  <si>
    <t xml:space="preserve">Notes</t>
  </si>
  <si>
    <t xml:space="preserve">Date Added</t>
  </si>
  <si>
    <t xml:space="preserve">Last Contact Date</t>
  </si>
  <si>
    <t xml:space="preserve">Blossom &amp; Bloom Weddings</t>
  </si>
  <si>
    <t xml:space="preserve">Wedding Vendor</t>
  </si>
  <si>
    <t xml:space="preserve">@blossombloomdubai</t>
  </si>
  <si>
    <t xml:space="preserve">https://maps.google.com/?q=Blossom+Bloom+Weddings+Dubai</t>
  </si>
  <si>
    <t xml:space="preserve">+971501234567</t>
  </si>
  <si>
    <t xml:space="preserve">Dubai - JBR</t>
  </si>
  <si>
    <t xml:space="preserve">N</t>
  </si>
  <si>
    <t xml:space="preserve">DM Sent</t>
  </si>
  <si>
    <t xml:space="preserve">SAMPLE - DELETE ME. Florist, no website, IG bio has WhatsApp only.</t>
  </si>
  <si>
    <t xml:space="preserve">Noor Events &amp; Planning</t>
  </si>
  <si>
    <t xml:space="preserve">@noorevents.ae</t>
  </si>
  <si>
    <t xml:space="preserve">https://maps.google.com/?q=Noor+Events+Abu+Dhabi</t>
  </si>
  <si>
    <t xml:space="preserve">+971502345678</t>
  </si>
  <si>
    <t xml:space="preserve">Abu Dhabi</t>
  </si>
  <si>
    <t xml:space="preserve">Replied</t>
  </si>
  <si>
    <t xml:space="preserve">SAMPLE - DELETE ME. Asked for pricing after demo link sent.</t>
  </si>
  <si>
    <t xml:space="preserve">Golden Hour Photography</t>
  </si>
  <si>
    <t xml:space="preserve">@goldenhour.uae</t>
  </si>
  <si>
    <t xml:space="preserve">https://maps.google.com/?q=Golden+Hour+Photography+Sharjah</t>
  </si>
  <si>
    <t xml:space="preserve">+971503456789</t>
  </si>
  <si>
    <t xml:space="preserve">Sharjah</t>
  </si>
  <si>
    <t xml:space="preserve">Demo Sent</t>
  </si>
  <si>
    <t xml:space="preserve">SAMPLE - DELETE ME. Loved the Lens &amp; Co demo, personalizing now.</t>
  </si>
  <si>
    <t xml:space="preserve">Layla's Bridal Boutique</t>
  </si>
  <si>
    <t xml:space="preserve">@laylasbridal</t>
  </si>
  <si>
    <t xml:space="preserve">https://maps.google.com/?q=Laylas+Bridal+Dubai</t>
  </si>
  <si>
    <t xml:space="preserve">+971504567890</t>
  </si>
  <si>
    <t xml:space="preserve">Dubai - Deira</t>
  </si>
  <si>
    <t xml:space="preserve">Won</t>
  </si>
  <si>
    <t xml:space="preserve">SAMPLE - DELETE ME. 50% deposit received, building now.</t>
  </si>
  <si>
    <t xml:space="preserve">Al Reem Wedding Cars</t>
  </si>
  <si>
    <t xml:space="preserve">@alreemweddingcars</t>
  </si>
  <si>
    <t xml:space="preserve">https://maps.google.com/?q=Al+Reem+Wedding+Cars</t>
  </si>
  <si>
    <t xml:space="preserve">+971505678901</t>
  </si>
  <si>
    <t xml:space="preserve">Dubai - Al Quoz</t>
  </si>
  <si>
    <t xml:space="preserve">New</t>
  </si>
  <si>
    <t xml:space="preserve">SAMPLE - DELETE ME. Found via Google Maps, no website field.</t>
  </si>
  <si>
    <t xml:space="preserve">Sugar &amp; Spice Cakes</t>
  </si>
  <si>
    <t xml:space="preserve">@sugarspicecakes.ae</t>
  </si>
  <si>
    <t xml:space="preserve">https://maps.google.com/?q=Sugar+Spice+Cakes+Dubai</t>
  </si>
  <si>
    <t xml:space="preserve">+971506789012</t>
  </si>
  <si>
    <t xml:space="preserve">Dubai - Al Barsha</t>
  </si>
  <si>
    <t xml:space="preserve">Researched</t>
  </si>
  <si>
    <t xml:space="preserve">SAMPLE - DELETE ME. IG bio has WhatsApp link only.</t>
  </si>
  <si>
    <t xml:space="preserve">Henna by Amal</t>
  </si>
  <si>
    <t xml:space="preserve">@hennabyamal</t>
  </si>
  <si>
    <t xml:space="preserve">https://maps.google.com/?q=Henna+by+Amal+Dubai</t>
  </si>
  <si>
    <t xml:space="preserve">+971507890123</t>
  </si>
  <si>
    <t xml:space="preserve">Dubai - Karama</t>
  </si>
  <si>
    <t xml:space="preserve">Lost/Ghosted</t>
  </si>
  <si>
    <t xml:space="preserve">SAMPLE - DELETE ME. No reply after 2 follow-ups.</t>
  </si>
  <si>
    <t xml:space="preserve">Royal Tent Decor</t>
  </si>
  <si>
    <t xml:space="preserve">@royaltentdecor</t>
  </si>
  <si>
    <t xml:space="preserve">https://maps.google.com/?q=Royal+Tent+Decor+Ajman</t>
  </si>
  <si>
    <t xml:space="preserve">+971508901234</t>
  </si>
  <si>
    <t xml:space="preserve">Ajman</t>
  </si>
  <si>
    <t xml:space="preserve">Negotiating</t>
  </si>
  <si>
    <t xml:space="preserve">SAMPLE - DELETE ME. Wants 3-5 page site instead of one-pager.</t>
  </si>
  <si>
    <t xml:space="preserve">Emirati Mehendi Studio</t>
  </si>
  <si>
    <t xml:space="preserve">@emiratimehendi</t>
  </si>
  <si>
    <t xml:space="preserve">https://maps.google.com/?q=Emirati+Mehendi+Studio+Dubai</t>
  </si>
  <si>
    <t xml:space="preserve">+971509012345</t>
  </si>
  <si>
    <t xml:space="preserve">Dubai - Bur Dubai</t>
  </si>
  <si>
    <t xml:space="preserve">WhatsApp</t>
  </si>
  <si>
    <t xml:space="preserve">SAMPLE - DELETE ME. Moved convo to WhatsApp after IG reply.</t>
  </si>
  <si>
    <t xml:space="preserve">The Wedding Caterers Co.</t>
  </si>
  <si>
    <t xml:space="preserve">@theweddingcaterers</t>
  </si>
  <si>
    <t xml:space="preserve">https://maps.google.com/?q=Wedding+Caterers+Dubai</t>
  </si>
  <si>
    <t xml:space="preserve">+971509876543</t>
  </si>
  <si>
    <t xml:space="preserve">Dubai - Business Bay</t>
  </si>
  <si>
    <t xml:space="preserve">Deposit Paid</t>
  </si>
  <si>
    <t xml:space="preserve">SAMPLE - DELETE ME. Case-study pricing (first 5 clients).</t>
  </si>
  <si>
    <t xml:space="preserve">Charleston Weddings by Allison</t>
  </si>
  <si>
    <t xml:space="preserve">https://google.com/maps/place/Charleston+Weddings+by+Allison/@32.9558666,-80.0550008,17z</t>
  </si>
  <si>
    <t xml:space="preserve">+1 843-901-2111</t>
  </si>
  <si>
    <t xml:space="preserve">Charleston, SC (29406)</t>
  </si>
  <si>
    <t xml:space="preserve">Wedding service, 4.4 stars (5 reviews). No website on Maps. Need to find IG handle + confirm active.</t>
  </si>
  <si>
    <t xml:space="preserve">Fabulous Fete</t>
  </si>
  <si>
    <t xml:space="preserve">https://google.com/maps/place/Fabulous+Fete/@32.7766115,-79.928047,17z</t>
  </si>
  <si>
    <t xml:space="preserve">+1 843-609-7669</t>
  </si>
  <si>
    <t xml:space="preserve">Charleston, SC (29401)</t>
  </si>
  <si>
    <t xml:space="preserve">Wedding planner, 5.0 stars (33 reviews). CAUTION: Maps shows "may be closed" - verify still active on IG before building demo.</t>
  </si>
  <si>
    <t xml:space="preserve">Amara Photography</t>
  </si>
  <si>
    <t xml:space="preserve">https://google.com/maps/place/Amara+Photography/@32.7875847,-79.9290819,17z</t>
  </si>
  <si>
    <t xml:space="preserve">+1 843-608-9044</t>
  </si>
  <si>
    <t xml:space="preserve">Wedding photographer, 5.0 stars (6 reviews). No website on Maps, listing shows Open now.</t>
  </si>
  <si>
    <t xml:space="preserve">Absolutely Charleston</t>
  </si>
  <si>
    <t xml:space="preserve">https://google.com/maps/place/Absolutely+Charleston/@33.0042676,-80.1756363,17z</t>
  </si>
  <si>
    <t xml:space="preserve">+1 843-747-4448</t>
  </si>
  <si>
    <t xml:space="preserve">Summerville, SC (29485)</t>
  </si>
  <si>
    <t xml:space="preserve">Event management company, 4.4 stars (20 reviews). No website on Maps, likely home-based.</t>
  </si>
  <si>
    <t xml:space="preserve">Loviebeks Photography</t>
  </si>
  <si>
    <t xml:space="preserve">@loviebeks</t>
  </si>
  <si>
    <t xml:space="preserve">Charleston, SC</t>
  </si>
  <si>
    <t xml:space="preserve">IG: Charleston Wedding Photographer, 5114 followers, 1301 posts (very active). Bio link is a Dubsado CRM intake form, not a real site. Confirm actual business/brand name on first contact.</t>
  </si>
  <si>
    <t xml:space="preserve">Nell's Florals</t>
  </si>
  <si>
    <t xml:space="preserve">@nellsflorals</t>
  </si>
  <si>
    <t xml:space="preserve">IG: Charleston Wedding Florist, owner Jenn Sexton, 411 followers. No bio link at all.</t>
  </si>
  <si>
    <t xml:space="preserve">Charleston Bride Tribe</t>
  </si>
  <si>
    <t xml:space="preserve">@charlestonbridetribe</t>
  </si>
  <si>
    <t xml:space="preserve">IG: #1 Charleston Bachelorette Photographer, 3252 followers, 175 posts (very active). Bio link is only a Linktree, no real website.</t>
  </si>
  <si>
    <t xml:space="preserve">Legend / Instructions</t>
  </si>
  <si>
    <t xml:space="preserve">- Rows 2-11 are SAMPLE DATA (wedding vendor category) showing the expected format. Delete them before adding real leads.</t>
  </si>
  <si>
    <t xml:space="preserve">- Status dropdown (column H) auto colors: gray=New/Researched, blue=DM Sent, yellow=Replied/WhatsApp, orange=Demo Sent/Negotiating, green=Deposit Paid/Won, red=Lost/Ghosted.</t>
  </si>
  <si>
    <t xml:space="preserve">- Price Quoted / Deposit Received are in AED. Deposit is typically 50% of Price Quoted.</t>
  </si>
  <si>
    <t xml:space="preserve">- See the Summary tab for auto-calculated conversion rate and revenue (do not edit Summary formulas directly).</t>
  </si>
  <si>
    <t xml:space="preserve">Lead Pipeline Summary</t>
  </si>
  <si>
    <t xml:space="preserve">All figures below are live formulas referencing the Leads tab.</t>
  </si>
  <si>
    <t xml:space="preserve">Total Leads</t>
  </si>
  <si>
    <t xml:space="preserve">Leads by Status</t>
  </si>
  <si>
    <t xml:space="preserve">DM Sent or Further (Outreach Total)</t>
  </si>
  <si>
    <t xml:space="preserve">Won Deals</t>
  </si>
  <si>
    <t xml:space="preserve">Conversion Rate (Won / Outreach Total)</t>
  </si>
  <si>
    <t xml:space="preserve">Total Deposits Received (AED)</t>
  </si>
  <si>
    <t xml:space="preserve">Total Revenue - Won Deals (AED)</t>
  </si>
  <si>
    <t xml:space="preserve">Average Price per Won Deal (AED)</t>
  </si>
  <si>
    <t xml:space="preserve">Note: 'Outreach Total' counts every lead that has reached DM Sent or a later stage (excludes New/Researched).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</si>
</sst>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&quot; AED&quot;"/>
    <numFmt numFmtId="167" formatCode="General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9CA3A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1D5DB"/>
      </patternFill>
    </fill>
    <fill>
      <patternFill patternType="solid">
        <fgColor rgb="FFBFDBFE"/>
        <bgColor rgb="FFD1D5DB"/>
      </patternFill>
    </fill>
    <fill>
      <patternFill patternType="solid">
        <fgColor rgb="FFFEF08A"/>
        <bgColor rgb="FFFED7AA"/>
      </patternFill>
    </fill>
    <fill>
      <patternFill patternType="solid">
        <fgColor rgb="FFFED7AA"/>
        <bgColor rgb="FFFECACA"/>
      </patternFill>
    </fill>
    <fill>
      <patternFill patternType="solid">
        <fgColor rgb="FFBBF7D0"/>
        <bgColor rgb="FFCCFFFF"/>
      </patternFill>
    </fill>
    <fill>
      <patternFill patternType="solid">
        <fgColor rgb="FF86EFAC"/>
        <bgColor rgb="FFBBF7D0"/>
      </patternFill>
    </fill>
    <fill>
      <patternFill patternType="solid">
        <fgColor rgb="FFFECACA"/>
        <bgColor rgb="FFFED7A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E5E7EB"/>
        </patternFill>
      </fill>
    </dxf>
    <dxf>
      <fill>
        <patternFill>
          <bgColor rgb="FFBFDBFE"/>
        </patternFill>
      </fill>
    </dxf>
    <dxf>
      <fill>
        <patternFill>
          <bgColor rgb="FFFEF08A"/>
        </patternFill>
      </fill>
    </dxf>
    <dxf>
      <fill>
        <patternFill>
          <bgColor rgb="FFFED7AA"/>
        </patternFill>
      </fill>
    </dxf>
    <dxf>
      <fill>
        <patternFill>
          <bgColor rgb="FFBBF7D0"/>
        </patternFill>
      </fill>
    </dxf>
    <dxf>
      <fill>
        <patternFill>
          <bgColor rgb="FF86EFAC"/>
        </patternFill>
      </fill>
    </dxf>
    <dxf>
      <fill>
        <patternFill>
          <bgColor rgb="FFFECAC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EF08A"/>
      <rgbColor rgb="FF86EFAC"/>
      <rgbColor rgb="FFFECACA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9" min="8" style="1" width="14"/>
    <col collapsed="false" customWidth="true" hidden="false" outlineLevel="0" max="10" min="10" style="1" width="16"/>
    <col collapsed="false" customWidth="true" hidden="false" outlineLevel="0" max="11" min="11" style="1" width="32"/>
    <col collapsed="false" customWidth="true" hidden="false" outlineLevel="0" max="12" min="12" style="1" width="13"/>
    <col collapsed="false" customWidth="true" hidden="false" outlineLevel="0" max="13" min="13" style="1" width="1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3"/>
      <c r="K2" s="3" t="s">
        <v>21</v>
      </c>
      <c r="L2" s="4" t="n">
        <v>46288</v>
      </c>
      <c r="M2" s="4" t="n">
        <v>46288</v>
      </c>
    </row>
    <row r="3" customFormat="false" ht="15" hidden="false" customHeight="true" outlineLevel="0" collapsed="false">
      <c r="A3" s="3" t="s">
        <v>22</v>
      </c>
      <c r="B3" s="3" t="s">
        <v>14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19</v>
      </c>
      <c r="H3" s="3" t="s">
        <v>27</v>
      </c>
      <c r="I3" s="3"/>
      <c r="J3" s="3"/>
      <c r="K3" s="3" t="s">
        <v>28</v>
      </c>
      <c r="L3" s="4" t="n">
        <v>46288</v>
      </c>
      <c r="M3" s="4" t="n">
        <v>46288</v>
      </c>
    </row>
    <row r="4" customFormat="false" ht="15" hidden="false" customHeight="true" outlineLevel="0" collapsed="false">
      <c r="A4" s="3" t="s">
        <v>29</v>
      </c>
      <c r="B4" s="3" t="s">
        <v>14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19</v>
      </c>
      <c r="H4" s="3" t="s">
        <v>34</v>
      </c>
      <c r="I4" s="5" t="n">
        <v>1200</v>
      </c>
      <c r="J4" s="3"/>
      <c r="K4" s="3" t="s">
        <v>35</v>
      </c>
      <c r="L4" s="4" t="n">
        <v>46288</v>
      </c>
      <c r="M4" s="4" t="n">
        <v>46288</v>
      </c>
    </row>
    <row r="5" customFormat="false" ht="15" hidden="false" customHeight="true" outlineLevel="0" collapsed="false">
      <c r="A5" s="3" t="s">
        <v>36</v>
      </c>
      <c r="B5" s="3" t="s">
        <v>14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19</v>
      </c>
      <c r="H5" s="3" t="s">
        <v>41</v>
      </c>
      <c r="I5" s="5" t="n">
        <v>1200</v>
      </c>
      <c r="J5" s="5" t="n">
        <v>600</v>
      </c>
      <c r="K5" s="3" t="s">
        <v>42</v>
      </c>
      <c r="L5" s="4" t="n">
        <v>46288</v>
      </c>
      <c r="M5" s="4" t="n">
        <v>46288</v>
      </c>
    </row>
    <row r="6" customFormat="false" ht="15" hidden="false" customHeight="true" outlineLevel="0" collapsed="false">
      <c r="A6" s="3" t="s">
        <v>43</v>
      </c>
      <c r="B6" s="3" t="s">
        <v>14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19</v>
      </c>
      <c r="H6" s="3" t="s">
        <v>48</v>
      </c>
      <c r="I6" s="3"/>
      <c r="J6" s="3"/>
      <c r="K6" s="3" t="s">
        <v>49</v>
      </c>
      <c r="L6" s="4" t="n">
        <v>46288</v>
      </c>
      <c r="M6" s="4" t="n">
        <v>46288</v>
      </c>
    </row>
    <row r="7" customFormat="false" ht="15" hidden="false" customHeight="true" outlineLevel="0" collapsed="false">
      <c r="A7" s="3" t="s">
        <v>50</v>
      </c>
      <c r="B7" s="3" t="s">
        <v>14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19</v>
      </c>
      <c r="H7" s="3" t="s">
        <v>55</v>
      </c>
      <c r="I7" s="3"/>
      <c r="J7" s="3"/>
      <c r="K7" s="3" t="s">
        <v>56</v>
      </c>
      <c r="L7" s="4" t="n">
        <v>46288</v>
      </c>
      <c r="M7" s="4" t="n">
        <v>46288</v>
      </c>
    </row>
    <row r="8" customFormat="false" ht="15" hidden="false" customHeight="true" outlineLevel="0" collapsed="false">
      <c r="A8" s="3" t="s">
        <v>57</v>
      </c>
      <c r="B8" s="3" t="s">
        <v>14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19</v>
      </c>
      <c r="H8" s="3" t="s">
        <v>62</v>
      </c>
      <c r="I8" s="3"/>
      <c r="J8" s="3"/>
      <c r="K8" s="3" t="s">
        <v>63</v>
      </c>
      <c r="L8" s="4" t="n">
        <v>46288</v>
      </c>
      <c r="M8" s="4" t="n">
        <v>46288</v>
      </c>
    </row>
    <row r="9" customFormat="false" ht="15" hidden="false" customHeight="true" outlineLevel="0" collapsed="false">
      <c r="A9" s="3" t="s">
        <v>64</v>
      </c>
      <c r="B9" s="3" t="s">
        <v>14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19</v>
      </c>
      <c r="H9" s="3" t="s">
        <v>69</v>
      </c>
      <c r="I9" s="5" t="n">
        <v>1500</v>
      </c>
      <c r="J9" s="3"/>
      <c r="K9" s="3" t="s">
        <v>70</v>
      </c>
      <c r="L9" s="4" t="n">
        <v>46288</v>
      </c>
      <c r="M9" s="4" t="n">
        <v>46288</v>
      </c>
    </row>
    <row r="10" customFormat="false" ht="15" hidden="false" customHeight="true" outlineLevel="0" collapsed="false">
      <c r="A10" s="3" t="s">
        <v>71</v>
      </c>
      <c r="B10" s="3" t="s">
        <v>14</v>
      </c>
      <c r="C10" s="3" t="s">
        <v>72</v>
      </c>
      <c r="D10" s="3" t="s">
        <v>73</v>
      </c>
      <c r="E10" s="3" t="s">
        <v>74</v>
      </c>
      <c r="F10" s="3" t="s">
        <v>75</v>
      </c>
      <c r="G10" s="3" t="s">
        <v>19</v>
      </c>
      <c r="H10" s="3" t="s">
        <v>76</v>
      </c>
      <c r="I10" s="3"/>
      <c r="J10" s="3"/>
      <c r="K10" s="3" t="s">
        <v>77</v>
      </c>
      <c r="L10" s="4" t="n">
        <v>46288</v>
      </c>
      <c r="M10" s="4" t="n">
        <v>46288</v>
      </c>
    </row>
    <row r="11" customFormat="false" ht="15" hidden="false" customHeight="true" outlineLevel="0" collapsed="false">
      <c r="A11" s="3" t="s">
        <v>78</v>
      </c>
      <c r="B11" s="3" t="s">
        <v>14</v>
      </c>
      <c r="C11" s="3" t="s">
        <v>79</v>
      </c>
      <c r="D11" s="3" t="s">
        <v>80</v>
      </c>
      <c r="E11" s="3" t="s">
        <v>81</v>
      </c>
      <c r="F11" s="3" t="s">
        <v>82</v>
      </c>
      <c r="G11" s="3" t="s">
        <v>19</v>
      </c>
      <c r="H11" s="3" t="s">
        <v>83</v>
      </c>
      <c r="I11" s="5" t="n">
        <v>1000</v>
      </c>
      <c r="J11" s="5" t="n">
        <v>500</v>
      </c>
      <c r="K11" s="3" t="s">
        <v>84</v>
      </c>
      <c r="L11" s="4" t="n">
        <v>46288</v>
      </c>
      <c r="M11" s="4" t="n">
        <v>46288</v>
      </c>
    </row>
    <row r="12" customFormat="false" ht="15" hidden="false" customHeight="true" outlineLevel="0" collapsed="false">
      <c r="A12" s="6" t="s">
        <v>85</v>
      </c>
      <c r="B12" s="6" t="s">
        <v>14</v>
      </c>
      <c r="C12" s="6"/>
      <c r="D12" s="6" t="s">
        <v>86</v>
      </c>
      <c r="E12" s="6" t="s">
        <v>87</v>
      </c>
      <c r="F12" s="6" t="s">
        <v>88</v>
      </c>
      <c r="G12" s="6" t="s">
        <v>19</v>
      </c>
      <c r="H12" s="6" t="s">
        <v>55</v>
      </c>
      <c r="I12" s="7"/>
      <c r="J12" s="7"/>
      <c r="K12" s="6" t="s">
        <v>89</v>
      </c>
      <c r="L12" s="8" t="n">
        <v>46288</v>
      </c>
      <c r="M12" s="8"/>
    </row>
    <row r="13" customFormat="false" ht="15" hidden="false" customHeight="true" outlineLevel="0" collapsed="false">
      <c r="A13" s="6" t="s">
        <v>90</v>
      </c>
      <c r="B13" s="6" t="s">
        <v>14</v>
      </c>
      <c r="C13" s="6"/>
      <c r="D13" s="6" t="s">
        <v>91</v>
      </c>
      <c r="E13" s="6" t="s">
        <v>92</v>
      </c>
      <c r="F13" s="6" t="s">
        <v>93</v>
      </c>
      <c r="G13" s="6" t="s">
        <v>19</v>
      </c>
      <c r="H13" s="6" t="s">
        <v>55</v>
      </c>
      <c r="I13" s="7"/>
      <c r="J13" s="7"/>
      <c r="K13" s="6" t="s">
        <v>94</v>
      </c>
      <c r="L13" s="8" t="n">
        <v>46288</v>
      </c>
      <c r="M13" s="8"/>
    </row>
    <row r="14" customFormat="false" ht="15" hidden="false" customHeight="true" outlineLevel="0" collapsed="false">
      <c r="A14" s="6" t="s">
        <v>95</v>
      </c>
      <c r="B14" s="6" t="s">
        <v>14</v>
      </c>
      <c r="C14" s="6"/>
      <c r="D14" s="6" t="s">
        <v>96</v>
      </c>
      <c r="E14" s="6" t="s">
        <v>97</v>
      </c>
      <c r="F14" s="6" t="s">
        <v>93</v>
      </c>
      <c r="G14" s="6" t="s">
        <v>19</v>
      </c>
      <c r="H14" s="6" t="s">
        <v>55</v>
      </c>
      <c r="I14" s="7"/>
      <c r="J14" s="7"/>
      <c r="K14" s="6" t="s">
        <v>98</v>
      </c>
      <c r="L14" s="8" t="n">
        <v>46288</v>
      </c>
      <c r="M14" s="8"/>
    </row>
    <row r="15" customFormat="false" ht="15" hidden="false" customHeight="true" outlineLevel="0" collapsed="false">
      <c r="A15" s="6" t="s">
        <v>99</v>
      </c>
      <c r="B15" s="6" t="s">
        <v>14</v>
      </c>
      <c r="C15" s="6"/>
      <c r="D15" s="6" t="s">
        <v>100</v>
      </c>
      <c r="E15" s="6" t="s">
        <v>101</v>
      </c>
      <c r="F15" s="6" t="s">
        <v>102</v>
      </c>
      <c r="G15" s="6" t="s">
        <v>19</v>
      </c>
      <c r="H15" s="6" t="s">
        <v>55</v>
      </c>
      <c r="I15" s="7"/>
      <c r="J15" s="7"/>
      <c r="K15" s="6" t="s">
        <v>103</v>
      </c>
      <c r="L15" s="8" t="n">
        <v>46288</v>
      </c>
      <c r="M15" s="8"/>
    </row>
    <row r="16" customFormat="false" ht="15" hidden="false" customHeight="true" outlineLevel="0" collapsed="false">
      <c r="A16" s="6" t="s">
        <v>104</v>
      </c>
      <c r="B16" s="6" t="s">
        <v>14</v>
      </c>
      <c r="C16" s="6" t="s">
        <v>105</v>
      </c>
      <c r="D16" s="6"/>
      <c r="E16" s="6"/>
      <c r="F16" s="6" t="s">
        <v>106</v>
      </c>
      <c r="G16" s="6" t="s">
        <v>19</v>
      </c>
      <c r="H16" s="6" t="s">
        <v>55</v>
      </c>
      <c r="I16" s="7"/>
      <c r="J16" s="7"/>
      <c r="K16" s="6" t="s">
        <v>107</v>
      </c>
      <c r="L16" s="8" t="n">
        <v>46288</v>
      </c>
      <c r="M16" s="8"/>
    </row>
    <row r="17" customFormat="false" ht="15" hidden="false" customHeight="true" outlineLevel="0" collapsed="false">
      <c r="A17" s="6" t="s">
        <v>108</v>
      </c>
      <c r="B17" s="6" t="s">
        <v>14</v>
      </c>
      <c r="C17" s="6" t="s">
        <v>109</v>
      </c>
      <c r="D17" s="6"/>
      <c r="E17" s="6"/>
      <c r="F17" s="6" t="s">
        <v>106</v>
      </c>
      <c r="G17" s="6" t="s">
        <v>19</v>
      </c>
      <c r="H17" s="6" t="s">
        <v>55</v>
      </c>
      <c r="I17" s="7"/>
      <c r="J17" s="7"/>
      <c r="K17" s="6" t="s">
        <v>110</v>
      </c>
      <c r="L17" s="8" t="n">
        <v>46288</v>
      </c>
      <c r="M17" s="8"/>
    </row>
    <row r="18" customFormat="false" ht="15" hidden="false" customHeight="true" outlineLevel="0" collapsed="false">
      <c r="A18" s="6" t="s">
        <v>111</v>
      </c>
      <c r="B18" s="6" t="s">
        <v>14</v>
      </c>
      <c r="C18" s="6" t="s">
        <v>112</v>
      </c>
      <c r="D18" s="6"/>
      <c r="E18" s="6"/>
      <c r="F18" s="6" t="s">
        <v>106</v>
      </c>
      <c r="G18" s="6" t="s">
        <v>19</v>
      </c>
      <c r="H18" s="6" t="s">
        <v>55</v>
      </c>
      <c r="I18" s="7"/>
      <c r="J18" s="7"/>
      <c r="K18" s="6" t="s">
        <v>113</v>
      </c>
      <c r="L18" s="8" t="n">
        <v>46288</v>
      </c>
      <c r="M18" s="8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7"/>
      <c r="J19" s="7"/>
      <c r="K19" s="6"/>
      <c r="L19" s="8"/>
      <c r="M19" s="8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7"/>
      <c r="J20" s="7"/>
      <c r="K20" s="6"/>
      <c r="L20" s="8"/>
      <c r="M20" s="8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7"/>
      <c r="J21" s="7"/>
      <c r="K21" s="6"/>
      <c r="L21" s="8"/>
      <c r="M21" s="8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7"/>
      <c r="J22" s="7"/>
      <c r="K22" s="6"/>
      <c r="L22" s="8"/>
      <c r="M22" s="8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7"/>
      <c r="J23" s="7"/>
      <c r="K23" s="6"/>
      <c r="L23" s="8"/>
      <c r="M23" s="8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7"/>
      <c r="J24" s="7"/>
      <c r="K24" s="6"/>
      <c r="L24" s="8"/>
      <c r="M24" s="8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7"/>
      <c r="J25" s="7"/>
      <c r="K25" s="6"/>
      <c r="L25" s="8"/>
      <c r="M25" s="8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7"/>
      <c r="J26" s="7"/>
      <c r="K26" s="6"/>
      <c r="L26" s="8"/>
      <c r="M26" s="8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7"/>
      <c r="J27" s="7"/>
      <c r="K27" s="6"/>
      <c r="L27" s="8"/>
      <c r="M27" s="8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7"/>
      <c r="J28" s="7"/>
      <c r="K28" s="6"/>
      <c r="L28" s="8"/>
      <c r="M28" s="8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7"/>
      <c r="J29" s="7"/>
      <c r="K29" s="6"/>
      <c r="L29" s="8"/>
      <c r="M29" s="8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7"/>
      <c r="J30" s="7"/>
      <c r="K30" s="6"/>
      <c r="L30" s="8"/>
      <c r="M30" s="8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7"/>
      <c r="J31" s="7"/>
      <c r="K31" s="6"/>
      <c r="L31" s="8"/>
      <c r="M31" s="8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7"/>
      <c r="J32" s="7"/>
      <c r="K32" s="6"/>
      <c r="L32" s="8"/>
      <c r="M32" s="8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7"/>
      <c r="J33" s="7"/>
      <c r="K33" s="6"/>
      <c r="L33" s="8"/>
      <c r="M33" s="8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7"/>
      <c r="J34" s="7"/>
      <c r="K34" s="6"/>
      <c r="L34" s="8"/>
      <c r="M34" s="8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7"/>
      <c r="J35" s="7"/>
      <c r="K35" s="6"/>
      <c r="L35" s="8"/>
      <c r="M35" s="8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7"/>
      <c r="J36" s="7"/>
      <c r="K36" s="6"/>
      <c r="L36" s="8"/>
      <c r="M36" s="8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7"/>
      <c r="J37" s="7"/>
      <c r="K37" s="6"/>
      <c r="L37" s="8"/>
      <c r="M37" s="8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7"/>
      <c r="J38" s="7"/>
      <c r="K38" s="6"/>
      <c r="L38" s="8"/>
      <c r="M38" s="8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7"/>
      <c r="J39" s="7"/>
      <c r="K39" s="6"/>
      <c r="L39" s="8"/>
      <c r="M39" s="8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7"/>
      <c r="J40" s="7"/>
      <c r="K40" s="6"/>
      <c r="L40" s="8"/>
      <c r="M40" s="8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7"/>
      <c r="J41" s="7"/>
      <c r="K41" s="6"/>
      <c r="L41" s="8"/>
      <c r="M41" s="8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7"/>
      <c r="J42" s="7"/>
      <c r="K42" s="6"/>
      <c r="L42" s="8"/>
      <c r="M42" s="8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7"/>
      <c r="J43" s="7"/>
      <c r="K43" s="6"/>
      <c r="L43" s="8"/>
      <c r="M43" s="8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7"/>
      <c r="J44" s="7"/>
      <c r="K44" s="6"/>
      <c r="L44" s="8"/>
      <c r="M44" s="8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7"/>
      <c r="J45" s="7"/>
      <c r="K45" s="6"/>
      <c r="L45" s="8"/>
      <c r="M45" s="8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7"/>
      <c r="J46" s="7"/>
      <c r="K46" s="6"/>
      <c r="L46" s="8"/>
      <c r="M46" s="8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7"/>
      <c r="J47" s="7"/>
      <c r="K47" s="6"/>
      <c r="L47" s="8"/>
      <c r="M47" s="8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7"/>
      <c r="J48" s="7"/>
      <c r="K48" s="6"/>
      <c r="L48" s="8"/>
      <c r="M48" s="8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7"/>
      <c r="J49" s="7"/>
      <c r="K49" s="6"/>
      <c r="L49" s="8"/>
      <c r="M49" s="8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7"/>
      <c r="J50" s="7"/>
      <c r="K50" s="6"/>
      <c r="L50" s="8"/>
      <c r="M50" s="8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7"/>
      <c r="J51" s="7"/>
      <c r="K51" s="6"/>
      <c r="L51" s="8"/>
      <c r="M51" s="8"/>
    </row>
    <row r="54" customFormat="false" ht="15" hidden="false" customHeight="true" outlineLevel="0" collapsed="false">
      <c r="A54" s="9" t="s">
        <v>114</v>
      </c>
    </row>
    <row r="55" customFormat="false" ht="15" hidden="false" customHeight="true" outlineLevel="0" collapsed="false">
      <c r="A55" s="10" t="s">
        <v>115</v>
      </c>
    </row>
    <row r="56" customFormat="false" ht="15" hidden="false" customHeight="true" outlineLevel="0" collapsed="false">
      <c r="A56" s="10" t="s">
        <v>116</v>
      </c>
    </row>
    <row r="57" customFormat="false" ht="15" hidden="false" customHeight="true" outlineLevel="0" collapsed="false">
      <c r="A57" s="10" t="s">
        <v>117</v>
      </c>
    </row>
    <row r="58" customFormat="false" ht="15" hidden="false" customHeight="true" outlineLevel="0" collapsed="false">
      <c r="A58" s="10" t="s">
        <v>118</v>
      </c>
    </row>
  </sheetData>
  <conditionalFormatting sqref="H2:H51">
    <cfRule type="cellIs" priority="2" operator="equal" aboveAverage="0" equalAverage="0" bottom="0" percent="0" rank="0" text="" dxfId="0">
      <formula>"New"</formula>
    </cfRule>
    <cfRule type="cellIs" priority="3" operator="equal" aboveAverage="0" equalAverage="0" bottom="0" percent="0" rank="0" text="" dxfId="0">
      <formula>"Researched"</formula>
    </cfRule>
    <cfRule type="cellIs" priority="4" operator="equal" aboveAverage="0" equalAverage="0" bottom="0" percent="0" rank="0" text="" dxfId="1">
      <formula>"DM Sent"</formula>
    </cfRule>
    <cfRule type="cellIs" priority="5" operator="equal" aboveAverage="0" equalAverage="0" bottom="0" percent="0" rank="0" text="" dxfId="2">
      <formula>"Replied"</formula>
    </cfRule>
    <cfRule type="cellIs" priority="6" operator="equal" aboveAverage="0" equalAverage="0" bottom="0" percent="0" rank="0" text="" dxfId="2">
      <formula>"WhatsApp"</formula>
    </cfRule>
    <cfRule type="cellIs" priority="7" operator="equal" aboveAverage="0" equalAverage="0" bottom="0" percent="0" rank="0" text="" dxfId="3">
      <formula>"Demo Sent"</formula>
    </cfRule>
    <cfRule type="cellIs" priority="8" operator="equal" aboveAverage="0" equalAverage="0" bottom="0" percent="0" rank="0" text="" dxfId="3">
      <formula>"Negotiating"</formula>
    </cfRule>
    <cfRule type="cellIs" priority="9" operator="equal" aboveAverage="0" equalAverage="0" bottom="0" percent="0" rank="0" text="" dxfId="4">
      <formula>"Deposit Paid"</formula>
    </cfRule>
    <cfRule type="cellIs" priority="10" operator="equal" aboveAverage="0" equalAverage="0" bottom="0" percent="0" rank="0" text="" dxfId="5">
      <formula>"Won"</formula>
    </cfRule>
    <cfRule type="cellIs" priority="11" operator="equal" aboveAverage="0" equalAverage="0" bottom="0" percent="0" rank="0" text="" dxfId="6">
      <formula>"Lost/Ghosted"</formula>
    </cfRule>
  </conditionalFormatting>
  <dataValidations count="2">
    <dataValidation allowBlank="true" errorStyle="stop" operator="between" showDropDown="false" showErrorMessage="false" showInputMessage="false" sqref="G2:G51" type="list">
      <formula1>"Y,N"</formula1>
      <formula2>0</formula2>
    </dataValidation>
    <dataValidation allowBlank="true" errorStyle="stop" operator="between" showDropDown="false" showErrorMessage="false" showInputMessage="false" sqref="H2:H51" type="list">
      <formula1>"New,Researched,DM Sent,Replied,WhatsApp,Demo Sent,Negotiating,Deposit Paid,Won,Lost/Ghosted"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11" t="s">
        <v>119</v>
      </c>
      <c r="B1" s="11"/>
      <c r="C1" s="11"/>
    </row>
    <row r="2" customFormat="false" ht="15" hidden="false" customHeight="true" outlineLevel="0" collapsed="false">
      <c r="A2" s="12" t="s">
        <v>120</v>
      </c>
      <c r="B2" s="12"/>
      <c r="C2" s="12"/>
    </row>
    <row r="4" customFormat="false" ht="15" hidden="false" customHeight="true" outlineLevel="0" collapsed="false">
      <c r="A4" s="9" t="s">
        <v>121</v>
      </c>
      <c r="B4" s="13" t="n">
        <f aca="false">COUNTA(Leads!A2:A51)</f>
        <v>17</v>
      </c>
    </row>
    <row r="6" customFormat="false" ht="15" hidden="false" customHeight="true" outlineLevel="0" collapsed="false">
      <c r="A6" s="14" t="s">
        <v>122</v>
      </c>
    </row>
    <row r="7" customFormat="false" ht="15" hidden="false" customHeight="true" outlineLevel="0" collapsed="false">
      <c r="A7" s="13" t="s">
        <v>48</v>
      </c>
      <c r="B7" s="15" t="n">
        <f aca="false">COUNTIF(Leads!H2:H51,A7)</f>
        <v>1</v>
      </c>
    </row>
    <row r="8" customFormat="false" ht="15" hidden="false" customHeight="true" outlineLevel="0" collapsed="false">
      <c r="A8" s="13" t="s">
        <v>55</v>
      </c>
      <c r="B8" s="15" t="n">
        <f aca="false">COUNTIF(Leads!H2:H51,A8)</f>
        <v>8</v>
      </c>
    </row>
    <row r="9" customFormat="false" ht="15" hidden="false" customHeight="true" outlineLevel="0" collapsed="false">
      <c r="A9" s="13" t="s">
        <v>20</v>
      </c>
      <c r="B9" s="16" t="n">
        <f aca="false">COUNTIF(Leads!H2:H51,A9)</f>
        <v>1</v>
      </c>
    </row>
    <row r="10" customFormat="false" ht="15" hidden="false" customHeight="true" outlineLevel="0" collapsed="false">
      <c r="A10" s="13" t="s">
        <v>27</v>
      </c>
      <c r="B10" s="17" t="n">
        <f aca="false">COUNTIF(Leads!H2:H51,A10)</f>
        <v>1</v>
      </c>
    </row>
    <row r="11" customFormat="false" ht="15" hidden="false" customHeight="true" outlineLevel="0" collapsed="false">
      <c r="A11" s="13" t="s">
        <v>76</v>
      </c>
      <c r="B11" s="17" t="n">
        <f aca="false">COUNTIF(Leads!H2:H51,A11)</f>
        <v>1</v>
      </c>
    </row>
    <row r="12" customFormat="false" ht="15" hidden="false" customHeight="true" outlineLevel="0" collapsed="false">
      <c r="A12" s="13" t="s">
        <v>34</v>
      </c>
      <c r="B12" s="18" t="n">
        <f aca="false">COUNTIF(Leads!H2:H51,A12)</f>
        <v>1</v>
      </c>
    </row>
    <row r="13" customFormat="false" ht="15" hidden="false" customHeight="true" outlineLevel="0" collapsed="false">
      <c r="A13" s="13" t="s">
        <v>69</v>
      </c>
      <c r="B13" s="18" t="n">
        <f aca="false">COUNTIF(Leads!H2:H51,A13)</f>
        <v>1</v>
      </c>
    </row>
    <row r="14" customFormat="false" ht="15" hidden="false" customHeight="true" outlineLevel="0" collapsed="false">
      <c r="A14" s="13" t="s">
        <v>83</v>
      </c>
      <c r="B14" s="19" t="n">
        <f aca="false">COUNTIF(Leads!H2:H51,A14)</f>
        <v>1</v>
      </c>
    </row>
    <row r="15" customFormat="false" ht="15" hidden="false" customHeight="true" outlineLevel="0" collapsed="false">
      <c r="A15" s="13" t="s">
        <v>41</v>
      </c>
      <c r="B15" s="20" t="n">
        <f aca="false">COUNTIF(Leads!H2:H51,A15)</f>
        <v>1</v>
      </c>
    </row>
    <row r="16" customFormat="false" ht="15" hidden="false" customHeight="true" outlineLevel="0" collapsed="false">
      <c r="A16" s="13" t="s">
        <v>62</v>
      </c>
      <c r="B16" s="21" t="n">
        <f aca="false">COUNTIF(Leads!H2:H51,A16)</f>
        <v>1</v>
      </c>
    </row>
    <row r="18" customFormat="false" ht="15" hidden="false" customHeight="true" outlineLevel="0" collapsed="false">
      <c r="A18" s="9" t="s">
        <v>123</v>
      </c>
      <c r="B18" s="13" t="n">
        <f aca="false">COUNTIF(Leads!H2:H51,"DM Sent")+COUNTIF(Leads!H2:H51,"Replied")+COUNTIF(Leads!H2:H51,"WhatsApp")+COUNTIF(Leads!H2:H51,"Demo Sent")+COUNTIF(Leads!H2:H51,"Negotiating")+COUNTIF(Leads!H2:H51,"Deposit Paid")+COUNTIF(Leads!H2:H51,"Won")+COUNTIF(Leads!H2:H51,"Lost/Ghosted")</f>
        <v>8</v>
      </c>
    </row>
    <row r="20" customFormat="false" ht="15" hidden="false" customHeight="true" outlineLevel="0" collapsed="false">
      <c r="A20" s="9" t="s">
        <v>124</v>
      </c>
      <c r="B20" s="13" t="n">
        <f aca="false">COUNTIF(Leads!H2:H51,"Won")</f>
        <v>1</v>
      </c>
    </row>
    <row r="21" customFormat="false" ht="15" hidden="false" customHeight="true" outlineLevel="0" collapsed="false">
      <c r="A21" s="9" t="s">
        <v>125</v>
      </c>
      <c r="B21" s="22" t="n">
        <f aca="false">IFERROR(B20/B18,0)</f>
        <v>0.125</v>
      </c>
    </row>
    <row r="23" customFormat="false" ht="15" hidden="false" customHeight="true" outlineLevel="0" collapsed="false">
      <c r="A23" s="9" t="s">
        <v>126</v>
      </c>
      <c r="B23" s="23" t="n">
        <f aca="false">SUM(Leads!J2:J51)</f>
        <v>1100</v>
      </c>
    </row>
    <row r="24" customFormat="false" ht="15" hidden="false" customHeight="true" outlineLevel="0" collapsed="false">
      <c r="A24" s="9" t="s">
        <v>127</v>
      </c>
      <c r="B24" s="23" t="n">
        <f aca="false">SUMIF(Leads!H2:H51,"Won",Leads!I2:I51)+SUMIF(Leads!H2:H51,"Deposit Paid",Leads!I2:I51)</f>
        <v>2200</v>
      </c>
    </row>
    <row r="25" customFormat="false" ht="15" hidden="false" customHeight="true" outlineLevel="0" collapsed="false">
      <c r="A25" s="9" t="s">
        <v>128</v>
      </c>
      <c r="B25" s="23" t="n">
        <f aca="false">IFERROR(SUMIF(Leads!H2:H51,"Won",Leads!I2:I51)/B20,0)</f>
        <v>1200</v>
      </c>
    </row>
    <row r="27" customFormat="false" ht="15" hidden="false" customHeight="true" outlineLevel="0" collapsed="false">
      <c r="A27" s="12" t="s">
        <v>129</v>
      </c>
      <c r="B27" s="12"/>
      <c r="C27" s="12"/>
    </row>
  </sheetData>
  <mergeCells count="3">
    <mergeCell ref="A1:C1"/>
    <mergeCell ref="A2:C2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2026-09-23T21:59:11Z</dcterms:created>
  <dc:creator>openpyxl</dc:creator>
  <dc:description/>
  <dc:language>en-US</dc:language>
  <cp:lastModifiedBy/>
  <dcterms:modified xsi:type="dcterms:W3CDTF">2026-09-23T22:32:25Z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